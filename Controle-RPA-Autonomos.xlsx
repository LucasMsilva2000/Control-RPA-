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30B0715ED1D92ED/Documentos/"/>
    </mc:Choice>
  </mc:AlternateContent>
  <xr:revisionPtr revIDLastSave="0" documentId="8_{A586DAFD-F348-4A68-A2A0-2DB449E13CBE}" xr6:coauthVersionLast="47" xr6:coauthVersionMax="47" xr10:uidLastSave="{00000000-0000-0000-0000-000000000000}"/>
  <bookViews>
    <workbookView xWindow="-120" yWindow="-120" windowWidth="20730" windowHeight="11040" tabRatio="500" firstSheet="10" activeTab="13" xr2:uid="{00000000-000D-0000-FFFF-FFFF00000000}"/>
  </bookViews>
  <sheets>
    <sheet name="Dashboard" sheetId="1" r:id="rId1"/>
    <sheet name="Parâmetros" sheetId="2" r:id="rId2"/>
    <sheet name="RPA-Jan2025" sheetId="3" r:id="rId3"/>
    <sheet name="RPA-Fev2025" sheetId="4" r:id="rId4"/>
    <sheet name="RPA-Mar2025" sheetId="5" r:id="rId5"/>
    <sheet name="RPA-Abr2025" sheetId="6" r:id="rId6"/>
    <sheet name="RPA-Mai2025" sheetId="7" r:id="rId7"/>
    <sheet name="RPA-Jun2025" sheetId="8" r:id="rId8"/>
    <sheet name="RPA-Jul2025" sheetId="9" r:id="rId9"/>
    <sheet name="RPA-Ago2025" sheetId="10" r:id="rId10"/>
    <sheet name="RPA-Set2025" sheetId="11" r:id="rId11"/>
    <sheet name="RPA-Out2025" sheetId="12" r:id="rId12"/>
    <sheet name="RPA-Nov2025" sheetId="13" r:id="rId13"/>
    <sheet name="RPA-Dez2025" sheetId="14" r:id="rId14"/>
  </sheets>
  <definedNames>
    <definedName name="ALIQ_AUTONOMO">Parâmetros!$C$5</definedName>
    <definedName name="ALIQ_EMPRESA">Parâmetros!$C$6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12" l="1"/>
  <c r="H12" i="6"/>
  <c r="E14" i="14"/>
  <c r="G13" i="14"/>
  <c r="F13" i="14"/>
  <c r="H13" i="14" s="1"/>
  <c r="G12" i="14"/>
  <c r="F12" i="14"/>
  <c r="H12" i="14" s="1"/>
  <c r="G11" i="14"/>
  <c r="F11" i="14"/>
  <c r="H11" i="14" s="1"/>
  <c r="G10" i="14"/>
  <c r="F10" i="14"/>
  <c r="H10" i="14" s="1"/>
  <c r="G9" i="14"/>
  <c r="F9" i="14"/>
  <c r="H9" i="14" s="1"/>
  <c r="G8" i="14"/>
  <c r="F8" i="14"/>
  <c r="H8" i="14" s="1"/>
  <c r="G7" i="14"/>
  <c r="F7" i="14"/>
  <c r="H7" i="14" s="1"/>
  <c r="G6" i="14"/>
  <c r="G14" i="14" s="1"/>
  <c r="F6" i="14"/>
  <c r="E14" i="13"/>
  <c r="G13" i="13"/>
  <c r="F13" i="13"/>
  <c r="H13" i="13" s="1"/>
  <c r="G12" i="13"/>
  <c r="F12" i="13"/>
  <c r="H12" i="13" s="1"/>
  <c r="G11" i="13"/>
  <c r="F11" i="13"/>
  <c r="H11" i="13" s="1"/>
  <c r="G10" i="13"/>
  <c r="F10" i="13"/>
  <c r="H10" i="13" s="1"/>
  <c r="G9" i="13"/>
  <c r="F9" i="13"/>
  <c r="H9" i="13" s="1"/>
  <c r="G8" i="13"/>
  <c r="F8" i="13"/>
  <c r="H8" i="13" s="1"/>
  <c r="G7" i="13"/>
  <c r="F7" i="13"/>
  <c r="H7" i="13" s="1"/>
  <c r="G6" i="13"/>
  <c r="G14" i="13" s="1"/>
  <c r="F6" i="13"/>
  <c r="E14" i="12"/>
  <c r="G13" i="12"/>
  <c r="F13" i="12"/>
  <c r="H13" i="12" s="1"/>
  <c r="G12" i="12"/>
  <c r="F12" i="12"/>
  <c r="H12" i="12" s="1"/>
  <c r="G11" i="12"/>
  <c r="F11" i="12"/>
  <c r="H11" i="12" s="1"/>
  <c r="G10" i="12"/>
  <c r="F10" i="12"/>
  <c r="H10" i="12" s="1"/>
  <c r="G9" i="12"/>
  <c r="F9" i="12"/>
  <c r="H9" i="12" s="1"/>
  <c r="G8" i="12"/>
  <c r="F8" i="12"/>
  <c r="H8" i="12" s="1"/>
  <c r="G7" i="12"/>
  <c r="F7" i="12"/>
  <c r="G6" i="12"/>
  <c r="G14" i="12" s="1"/>
  <c r="F6" i="12"/>
  <c r="E14" i="11"/>
  <c r="G13" i="11"/>
  <c r="F13" i="11"/>
  <c r="H13" i="11" s="1"/>
  <c r="G12" i="11"/>
  <c r="F12" i="11"/>
  <c r="H12" i="11" s="1"/>
  <c r="G11" i="11"/>
  <c r="F11" i="11"/>
  <c r="H11" i="11" s="1"/>
  <c r="G10" i="11"/>
  <c r="F10" i="11"/>
  <c r="H10" i="11" s="1"/>
  <c r="G9" i="11"/>
  <c r="F9" i="11"/>
  <c r="H9" i="11" s="1"/>
  <c r="G8" i="11"/>
  <c r="F8" i="11"/>
  <c r="H8" i="11" s="1"/>
  <c r="G7" i="11"/>
  <c r="F7" i="11"/>
  <c r="H7" i="11" s="1"/>
  <c r="G6" i="11"/>
  <c r="G14" i="11" s="1"/>
  <c r="F6" i="11"/>
  <c r="E14" i="10"/>
  <c r="G13" i="10"/>
  <c r="F13" i="10"/>
  <c r="H13" i="10" s="1"/>
  <c r="G12" i="10"/>
  <c r="F12" i="10"/>
  <c r="H12" i="10" s="1"/>
  <c r="G11" i="10"/>
  <c r="F11" i="10"/>
  <c r="H11" i="10" s="1"/>
  <c r="G10" i="10"/>
  <c r="F10" i="10"/>
  <c r="H10" i="10" s="1"/>
  <c r="G9" i="10"/>
  <c r="F9" i="10"/>
  <c r="H9" i="10" s="1"/>
  <c r="G8" i="10"/>
  <c r="F8" i="10"/>
  <c r="H8" i="10" s="1"/>
  <c r="G7" i="10"/>
  <c r="F7" i="10"/>
  <c r="H7" i="10" s="1"/>
  <c r="G6" i="10"/>
  <c r="G14" i="10" s="1"/>
  <c r="F6" i="10"/>
  <c r="E14" i="9"/>
  <c r="G13" i="9"/>
  <c r="F13" i="9"/>
  <c r="H13" i="9" s="1"/>
  <c r="G12" i="9"/>
  <c r="F12" i="9"/>
  <c r="H12" i="9" s="1"/>
  <c r="G11" i="9"/>
  <c r="F11" i="9"/>
  <c r="H11" i="9" s="1"/>
  <c r="G10" i="9"/>
  <c r="F10" i="9"/>
  <c r="H10" i="9" s="1"/>
  <c r="G9" i="9"/>
  <c r="F9" i="9"/>
  <c r="H9" i="9" s="1"/>
  <c r="G8" i="9"/>
  <c r="F8" i="9"/>
  <c r="H8" i="9" s="1"/>
  <c r="G7" i="9"/>
  <c r="F7" i="9"/>
  <c r="H7" i="9" s="1"/>
  <c r="G6" i="9"/>
  <c r="G14" i="9" s="1"/>
  <c r="F6" i="9"/>
  <c r="E14" i="8"/>
  <c r="G13" i="8"/>
  <c r="F13" i="8"/>
  <c r="H13" i="8" s="1"/>
  <c r="G12" i="8"/>
  <c r="F12" i="8"/>
  <c r="H12" i="8" s="1"/>
  <c r="G11" i="8"/>
  <c r="F11" i="8"/>
  <c r="H11" i="8" s="1"/>
  <c r="G10" i="8"/>
  <c r="F10" i="8"/>
  <c r="H10" i="8" s="1"/>
  <c r="G9" i="8"/>
  <c r="F9" i="8"/>
  <c r="H9" i="8" s="1"/>
  <c r="G8" i="8"/>
  <c r="F8" i="8"/>
  <c r="H8" i="8" s="1"/>
  <c r="G7" i="8"/>
  <c r="F7" i="8"/>
  <c r="H7" i="8" s="1"/>
  <c r="G6" i="8"/>
  <c r="G14" i="8" s="1"/>
  <c r="F6" i="8"/>
  <c r="E14" i="7"/>
  <c r="G13" i="7"/>
  <c r="F13" i="7"/>
  <c r="H13" i="7" s="1"/>
  <c r="G12" i="7"/>
  <c r="F12" i="7"/>
  <c r="H12" i="7" s="1"/>
  <c r="G11" i="7"/>
  <c r="F11" i="7"/>
  <c r="H11" i="7" s="1"/>
  <c r="G10" i="7"/>
  <c r="F10" i="7"/>
  <c r="H10" i="7" s="1"/>
  <c r="G9" i="7"/>
  <c r="F9" i="7"/>
  <c r="H9" i="7" s="1"/>
  <c r="G8" i="7"/>
  <c r="F8" i="7"/>
  <c r="H8" i="7" s="1"/>
  <c r="G7" i="7"/>
  <c r="F7" i="7"/>
  <c r="H7" i="7" s="1"/>
  <c r="G6" i="7"/>
  <c r="G14" i="7" s="1"/>
  <c r="F6" i="7"/>
  <c r="E14" i="6"/>
  <c r="G13" i="6"/>
  <c r="F13" i="6"/>
  <c r="H13" i="6" s="1"/>
  <c r="G12" i="6"/>
  <c r="F12" i="6"/>
  <c r="G11" i="6"/>
  <c r="F11" i="6"/>
  <c r="H11" i="6" s="1"/>
  <c r="G10" i="6"/>
  <c r="F10" i="6"/>
  <c r="H10" i="6" s="1"/>
  <c r="G9" i="6"/>
  <c r="F9" i="6"/>
  <c r="H9" i="6" s="1"/>
  <c r="G8" i="6"/>
  <c r="F8" i="6"/>
  <c r="H8" i="6" s="1"/>
  <c r="G7" i="6"/>
  <c r="F7" i="6"/>
  <c r="H7" i="6" s="1"/>
  <c r="G6" i="6"/>
  <c r="G14" i="6" s="1"/>
  <c r="F6" i="6"/>
  <c r="E14" i="5"/>
  <c r="G13" i="5"/>
  <c r="F13" i="5"/>
  <c r="H13" i="5" s="1"/>
  <c r="G12" i="5"/>
  <c r="F12" i="5"/>
  <c r="H12" i="5" s="1"/>
  <c r="G11" i="5"/>
  <c r="F11" i="5"/>
  <c r="H11" i="5" s="1"/>
  <c r="G10" i="5"/>
  <c r="F10" i="5"/>
  <c r="H10" i="5" s="1"/>
  <c r="G9" i="5"/>
  <c r="F9" i="5"/>
  <c r="H9" i="5" s="1"/>
  <c r="G8" i="5"/>
  <c r="F8" i="5"/>
  <c r="H8" i="5" s="1"/>
  <c r="G7" i="5"/>
  <c r="F7" i="5"/>
  <c r="H7" i="5" s="1"/>
  <c r="G6" i="5"/>
  <c r="G14" i="5" s="1"/>
  <c r="F6" i="5"/>
  <c r="E14" i="4"/>
  <c r="G13" i="4"/>
  <c r="F13" i="4"/>
  <c r="H13" i="4" s="1"/>
  <c r="G12" i="4"/>
  <c r="F12" i="4"/>
  <c r="H12" i="4" s="1"/>
  <c r="G11" i="4"/>
  <c r="F11" i="4"/>
  <c r="H11" i="4" s="1"/>
  <c r="G10" i="4"/>
  <c r="F10" i="4"/>
  <c r="H10" i="4" s="1"/>
  <c r="G9" i="4"/>
  <c r="F9" i="4"/>
  <c r="H9" i="4" s="1"/>
  <c r="G8" i="4"/>
  <c r="F8" i="4"/>
  <c r="H8" i="4" s="1"/>
  <c r="G7" i="4"/>
  <c r="F7" i="4"/>
  <c r="H7" i="4" s="1"/>
  <c r="G6" i="4"/>
  <c r="G14" i="4" s="1"/>
  <c r="F6" i="4"/>
  <c r="E14" i="3"/>
  <c r="G13" i="3"/>
  <c r="F13" i="3"/>
  <c r="H13" i="3" s="1"/>
  <c r="G12" i="3"/>
  <c r="F12" i="3"/>
  <c r="H12" i="3" s="1"/>
  <c r="G11" i="3"/>
  <c r="F11" i="3"/>
  <c r="H11" i="3" s="1"/>
  <c r="G10" i="3"/>
  <c r="F10" i="3"/>
  <c r="H10" i="3" s="1"/>
  <c r="G9" i="3"/>
  <c r="F9" i="3"/>
  <c r="H9" i="3" s="1"/>
  <c r="G8" i="3"/>
  <c r="F8" i="3"/>
  <c r="H8" i="3" s="1"/>
  <c r="G7" i="3"/>
  <c r="F7" i="3"/>
  <c r="H7" i="3" s="1"/>
  <c r="G6" i="3"/>
  <c r="G14" i="3" s="1"/>
  <c r="F6" i="3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G18" i="1" s="1"/>
  <c r="E6" i="1"/>
  <c r="E18" i="1" s="1"/>
  <c r="C6" i="1"/>
  <c r="C20" i="1" l="1"/>
  <c r="C18" i="1"/>
  <c r="C21" i="1" s="1"/>
  <c r="F14" i="3"/>
  <c r="D6" i="1" s="1"/>
  <c r="H6" i="3"/>
  <c r="H14" i="3" s="1"/>
  <c r="F6" i="1" s="1"/>
  <c r="F14" i="4"/>
  <c r="D7" i="1" s="1"/>
  <c r="H6" i="4"/>
  <c r="H14" i="4" s="1"/>
  <c r="F7" i="1" s="1"/>
  <c r="F14" i="5"/>
  <c r="D8" i="1" s="1"/>
  <c r="H6" i="5"/>
  <c r="H14" i="5" s="1"/>
  <c r="F8" i="1" s="1"/>
  <c r="F14" i="6"/>
  <c r="D9" i="1" s="1"/>
  <c r="H6" i="6"/>
  <c r="H14" i="6" s="1"/>
  <c r="F9" i="1" s="1"/>
  <c r="F14" i="7"/>
  <c r="D10" i="1" s="1"/>
  <c r="H6" i="7"/>
  <c r="H14" i="7" s="1"/>
  <c r="F10" i="1" s="1"/>
  <c r="F14" i="8"/>
  <c r="D11" i="1" s="1"/>
  <c r="H6" i="8"/>
  <c r="H14" i="8" s="1"/>
  <c r="F11" i="1" s="1"/>
  <c r="F14" i="9"/>
  <c r="D12" i="1" s="1"/>
  <c r="H6" i="9"/>
  <c r="H14" i="9" s="1"/>
  <c r="F12" i="1" s="1"/>
  <c r="F14" i="10"/>
  <c r="D13" i="1" s="1"/>
  <c r="H6" i="10"/>
  <c r="H14" i="10" s="1"/>
  <c r="F13" i="1" s="1"/>
  <c r="F14" i="11"/>
  <c r="D14" i="1" s="1"/>
  <c r="H6" i="11"/>
  <c r="H14" i="11" s="1"/>
  <c r="F14" i="1" s="1"/>
  <c r="F14" i="12"/>
  <c r="D15" i="1" s="1"/>
  <c r="H6" i="12"/>
  <c r="H14" i="12" s="1"/>
  <c r="F15" i="1" s="1"/>
  <c r="F14" i="13"/>
  <c r="D16" i="1" s="1"/>
  <c r="H6" i="13"/>
  <c r="H14" i="13" s="1"/>
  <c r="F16" i="1" s="1"/>
  <c r="F14" i="14"/>
  <c r="D17" i="1" s="1"/>
  <c r="H6" i="14"/>
  <c r="H14" i="14" s="1"/>
  <c r="F17" i="1" s="1"/>
  <c r="F18" i="1" l="1"/>
  <c r="D18" i="1"/>
</calcChain>
</file>

<file path=xl/sharedStrings.xml><?xml version="1.0" encoding="utf-8"?>
<sst xmlns="http://schemas.openxmlformats.org/spreadsheetml/2006/main" count="296" uniqueCount="70">
  <si>
    <t>DASHBOARD — RESUMO ANUAL DE PAGAMENTOS DE RPA</t>
  </si>
  <si>
    <t>MÊS</t>
  </si>
  <si>
    <t>VALOR DOS
SERVIÇOS</t>
  </si>
  <si>
    <t>INSS
DESCONTADO</t>
  </si>
  <si>
    <t>INSS DA
EMPRESA</t>
  </si>
  <si>
    <t>VALOR LÍQUIDO
PAGO</t>
  </si>
  <si>
    <t>Nº DE
PRESTADORES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</si>
  <si>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</si>
  <si>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</si>
  <si>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</si>
  <si>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</si>
  <si>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</si>
  <si>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</si>
  <si>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</si>
  <si>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</si>
  <si>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</si>
  <si>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</si>
  <si>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</si>
  <si>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</si>
  <si>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</si>
  <si>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Mês de maior faturamento:</t>
  </si>
  <si>
    <t>Ticket médio por prestador:</t>
  </si>
  <si>
    <t>PARÂMETROS DO SISTEMA — CONTROLE DE RPA</t>
  </si>
  <si>
    <t>Alíquotas de INSS</t>
  </si>
  <si>
    <t>INSS descontado do autônomo</t>
  </si>
  <si>
    <t>INSS contribuição da empresa</t>
  </si>
  <si>
    <t>Dados da Empresa</t>
  </si>
  <si>
    <t>Razão Social</t>
  </si>
  <si>
    <t>Empresa Modelo LTDA</t>
  </si>
  <si>
    <t>CNPJ</t>
  </si>
  <si>
    <t>00.000.000/0001-00</t>
  </si>
  <si>
    <t>RELATÓRIO DE PAGAMENTO DE RPA</t>
  </si>
  <si>
    <t>Mês / Ano</t>
  </si>
  <si>
    <t>DATA</t>
  </si>
  <si>
    <t>NOME DO PRESTADOR</t>
  </si>
  <si>
    <t>CPF</t>
  </si>
  <si>
    <t>VALOR DO
SERVIÇO</t>
  </si>
  <si>
    <t>VALOR LÍQUIDO
A PAGAR</t>
  </si>
  <si>
    <t>Ana Souza</t>
  </si>
  <si>
    <t>123.456.789-01</t>
  </si>
  <si>
    <t>Marcos Vieira</t>
  </si>
  <si>
    <t>333.444.555-66</t>
  </si>
  <si>
    <t>Fernanda Costa</t>
  </si>
  <si>
    <t>567.891.234-05</t>
  </si>
  <si>
    <t>Diego Alves</t>
  </si>
  <si>
    <t>456.789.123-04</t>
  </si>
  <si>
    <t>TOTAL DO PERÍODO</t>
  </si>
  <si>
    <t>Alíquotas aplicadas: INSS autônomo = Parâmetros!C5  |  INSS empresa = Parâmetros!C6</t>
  </si>
  <si>
    <t>Bruno Lima</t>
  </si>
  <si>
    <t>234.567.891-02</t>
  </si>
  <si>
    <t>Natália Farias</t>
  </si>
  <si>
    <t>444.555.666-77</t>
  </si>
  <si>
    <t>Juliana Prado</t>
  </si>
  <si>
    <t>912.345.678-09</t>
  </si>
  <si>
    <t>Carla Mendes</t>
  </si>
  <si>
    <t>345.678.912-03</t>
  </si>
  <si>
    <t>Helena Dias</t>
  </si>
  <si>
    <t>789.123.456-07</t>
  </si>
  <si>
    <t>Gustavo Rocha</t>
  </si>
  <si>
    <t>678.912.345-06</t>
  </si>
  <si>
    <t>Otávio Ramos</t>
  </si>
  <si>
    <t>555.666.777-88</t>
  </si>
  <si>
    <t>Larissa Melo</t>
  </si>
  <si>
    <t>222.333.444-55</t>
  </si>
  <si>
    <t>Kevin Nunes</t>
  </si>
  <si>
    <t>111.222.333-44</t>
  </si>
  <si>
    <t>Igor Santos</t>
  </si>
  <si>
    <t>891.234.567-08</t>
  </si>
  <si>
    <t>Ano: 2025   |   Atualização automática a partir das abas mensais</t>
  </si>
  <si>
    <t>Ano de referência: 2025  |  Editar apenas as células em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</si>
</sst>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[Red]&quot;-R$ &quot;#,##0.00;\-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10"/>
      <color rgb="FF1F3864"/>
      <name val="Calibri"/>
      <charset val="1"/>
    </font>
    <font>
      <b/>
      <sz val="11"/>
      <color rgb="FF375623"/>
      <name val="Calibri"/>
      <charset val="1"/>
    </font>
    <font>
      <sz val="10"/>
      <color rgb="FF0000FF"/>
      <name val="Calibri"/>
      <charset val="1"/>
    </font>
    <font>
      <b/>
      <sz val="11"/>
      <color rgb="FF1F3864"/>
      <name val="Calibri"/>
      <charset val="1"/>
    </font>
    <font>
      <i/>
      <sz val="8"/>
      <color rgb="FF80808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0" fillId="0" borderId="0" xfId="0" applyFont="1"/>
    <xf numFmtId="0" fontId="5" fillId="2" borderId="0" xfId="0" applyFont="1" applyFill="1"/>
    <xf numFmtId="0" fontId="9" fillId="6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2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4" fillId="4" borderId="1" xfId="0" applyFont="1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5" fillId="2" borderId="0" xfId="0" applyFont="1" applyFill="1"/>
    <xf numFmtId="164" fontId="5" fillId="2" borderId="1" xfId="0" applyNumberFormat="1" applyFont="1" applyFill="1" applyBorder="1"/>
    <xf numFmtId="1" fontId="5" fillId="2" borderId="1" xfId="0" applyNumberFormat="1" applyFont="1" applyFill="1" applyBorder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4" fillId="0" borderId="0" xfId="0" applyFont="1"/>
    <xf numFmtId="165" fontId="8" fillId="5" borderId="1" xfId="0" applyNumberFormat="1" applyFont="1" applyFill="1" applyBorder="1"/>
    <xf numFmtId="0" fontId="8" fillId="5" borderId="1" xfId="0" applyFont="1" applyFill="1" applyBorder="1"/>
    <xf numFmtId="0" fontId="0" fillId="2" borderId="0" xfId="0" applyFill="1"/>
    <xf numFmtId="0" fontId="0" fillId="6" borderId="0" xfId="0" applyFill="1"/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8" fillId="0" borderId="1" xfId="0" applyNumberFormat="1" applyFont="1" applyBorder="1"/>
    <xf numFmtId="164" fontId="4" fillId="0" borderId="1" xfId="0" applyNumberFormat="1" applyFont="1" applyBorder="1"/>
    <xf numFmtId="14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/>
    <xf numFmtId="164" fontId="4" fillId="4" borderId="1" xfId="0" applyNumberFormat="1" applyFont="1" applyFill="1" applyBorder="1"/>
    <xf numFmtId="17" fontId="9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Líquido Pago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Dashboard!$F$5</c:f>
              <c:strCache>
                <c:ptCount val="1"/>
                <c:pt idx="0">
                  <c:v>VALOR LÍQUIDO
PAGO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Dashboard!$F$6:$F$17</c:f>
              <c:numCache>
                <c:formatCode>"R$ "#,##0.00;[Red]"-R$ "#,##0.00;\-</c:formatCode>
                <c:ptCount val="12"/>
                <c:pt idx="0">
                  <c:v>4316.5</c:v>
                </c:pt>
                <c:pt idx="1">
                  <c:v>5259.9</c:v>
                </c:pt>
                <c:pt idx="2">
                  <c:v>5589.2</c:v>
                </c:pt>
                <c:pt idx="3">
                  <c:v>7057.7</c:v>
                </c:pt>
                <c:pt idx="4">
                  <c:v>6096.5</c:v>
                </c:pt>
                <c:pt idx="5">
                  <c:v>7520.5</c:v>
                </c:pt>
                <c:pt idx="6">
                  <c:v>8125.7</c:v>
                </c:pt>
                <c:pt idx="7">
                  <c:v>7289.0999999999995</c:v>
                </c:pt>
                <c:pt idx="8">
                  <c:v>4138.5</c:v>
                </c:pt>
                <c:pt idx="9">
                  <c:v>2972.6000000000004</c:v>
                </c:pt>
                <c:pt idx="10">
                  <c:v>7903.2</c:v>
                </c:pt>
                <c:pt idx="11">
                  <c:v>4770.3999999999996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9-4ECF-891B-736544C42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047016"/>
        <c:axId val="5015645"/>
      </c:barChart>
      <c:catAx>
        <c:axId val="98047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15645"/>
        <c:crosses val="autoZero"/>
        <c:auto val="1"/>
        <c:lblAlgn val="ctr"/>
        <c:lblOffset val="100"/>
        <c:noMultiLvlLbl val="0"/>
      </c:catAx>
      <c:valAx>
        <c:axId val="5015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047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20</xdr:col>
      <xdr:colOff>581760</xdr:colOff>
      <xdr:row>21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0" sqref="D20"/>
    </sheetView>
  </sheetViews>
  <sheetFormatPr defaultColWidth="8.7109375" defaultRowHeight="15" x14ac:dyDescent="0.25"/>
  <cols>
    <col min="1" max="1" width="2" customWidth="1"/>
    <col min="2" max="2" width="16" customWidth="1"/>
    <col min="3" max="6" width="18" customWidth="1"/>
    <col min="7" max="7" width="16" customWidth="1"/>
    <col min="8" max="8" width="2" customWidth="1"/>
  </cols>
  <sheetData>
    <row r="2" spans="2:7" ht="31.5" customHeight="1" x14ac:dyDescent="0.25">
      <c r="B2" s="7" t="s">
        <v>0</v>
      </c>
      <c r="C2" s="7"/>
      <c r="D2" s="7"/>
      <c r="E2" s="7"/>
      <c r="F2" s="7"/>
      <c r="G2" s="7"/>
    </row>
    <row r="3" spans="2:7" x14ac:dyDescent="0.25">
      <c r="B3" s="6" t="s">
        <v>68</v>
      </c>
      <c r="C3" s="6"/>
      <c r="D3" s="6"/>
      <c r="E3" s="6"/>
      <c r="F3" s="6"/>
      <c r="G3" s="6"/>
    </row>
    <row r="5" spans="2:7" ht="30" customHeight="1" x14ac:dyDescent="0.25"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</row>
    <row r="6" spans="2:7" x14ac:dyDescent="0.25">
      <c r="B6" s="9" t="s">
        <v>7</v>
      </c>
      <c r="C6" s="10">
        <f>'RPA-Jan2025'!E14</f>
        <v>4850</v>
      </c>
      <c r="D6" s="10">
        <f>'RPA-Jan2025'!F14</f>
        <v>533.5</v>
      </c>
      <c r="E6" s="10">
        <f>'RPA-Jan2025'!G14</f>
        <v>970</v>
      </c>
      <c r="F6" s="10">
        <f>'RPA-Jan2025'!H14</f>
        <v>4316.5</v>
      </c>
      <c r="G6" s="11">
        <f>COUNTIF('RPA-Jan2025'!C6:C13,"?*")</f>
        <v>4</v>
      </c>
    </row>
    <row r="7" spans="2:7" x14ac:dyDescent="0.25">
      <c r="B7" s="12" t="s">
        <v>8</v>
      </c>
      <c r="C7" s="13">
        <f>'RPA-Fev2025'!E14</f>
        <v>5910</v>
      </c>
      <c r="D7" s="13">
        <f>'RPA-Fev2025'!F14</f>
        <v>650.1</v>
      </c>
      <c r="E7" s="13">
        <f>'RPA-Fev2025'!G14</f>
        <v>1182</v>
      </c>
      <c r="F7" s="13">
        <f>'RPA-Fev2025'!H14</f>
        <v>5259.9</v>
      </c>
      <c r="G7" s="14">
        <f>COUNTIF('RPA-Fev2025'!C6:C13,"?*")</f>
        <v>4</v>
      </c>
    </row>
    <row r="8" spans="2:7" x14ac:dyDescent="0.25">
      <c r="B8" s="9" t="s">
        <v>9</v>
      </c>
      <c r="C8" s="10">
        <f>'RPA-Mar2025'!E14</f>
        <v>6280</v>
      </c>
      <c r="D8" s="10">
        <f>'RPA-Mar2025'!F14</f>
        <v>690.8</v>
      </c>
      <c r="E8" s="10">
        <f>'RPA-Mar2025'!G14</f>
        <v>1256</v>
      </c>
      <c r="F8" s="10">
        <f>'RPA-Mar2025'!H14</f>
        <v>5589.2</v>
      </c>
      <c r="G8" s="11">
        <f>COUNTIF('RPA-Mar2025'!C6:C13,"?*")</f>
        <v>6</v>
      </c>
    </row>
    <row r="9" spans="2:7" x14ac:dyDescent="0.25">
      <c r="B9" s="12" t="s">
        <v>10</v>
      </c>
      <c r="C9" s="13">
        <f>'RPA-Abr2025'!E14</f>
        <v>7930</v>
      </c>
      <c r="D9" s="13">
        <f>'RPA-Abr2025'!F14</f>
        <v>872.3</v>
      </c>
      <c r="E9" s="13">
        <f>'RPA-Abr2025'!G14</f>
        <v>1586</v>
      </c>
      <c r="F9" s="13">
        <f>'RPA-Abr2025'!H14</f>
        <v>7057.7</v>
      </c>
      <c r="G9" s="14">
        <f>COUNTIF('RPA-Abr2025'!C6:C13,"?*")</f>
        <v>7</v>
      </c>
    </row>
    <row r="10" spans="2:7" x14ac:dyDescent="0.25">
      <c r="B10" s="9" t="s">
        <v>11</v>
      </c>
      <c r="C10" s="10">
        <f>'RPA-Mai2025'!E14</f>
        <v>6850</v>
      </c>
      <c r="D10" s="10">
        <f>'RPA-Mai2025'!F14</f>
        <v>753.5</v>
      </c>
      <c r="E10" s="10">
        <f>'RPA-Mai2025'!G14</f>
        <v>1370</v>
      </c>
      <c r="F10" s="10">
        <f>'RPA-Mai2025'!H14</f>
        <v>6096.5</v>
      </c>
      <c r="G10" s="11">
        <f>COUNTIF('RPA-Mai2025'!C6:C13,"?*")</f>
        <v>6</v>
      </c>
    </row>
    <row r="11" spans="2:7" x14ac:dyDescent="0.25">
      <c r="B11" s="12" t="s">
        <v>12</v>
      </c>
      <c r="C11" s="13">
        <f>'RPA-Jun2025'!E14</f>
        <v>8450</v>
      </c>
      <c r="D11" s="13">
        <f>'RPA-Jun2025'!F14</f>
        <v>929.5</v>
      </c>
      <c r="E11" s="13">
        <f>'RPA-Jun2025'!G14</f>
        <v>1690</v>
      </c>
      <c r="F11" s="13">
        <f>'RPA-Jun2025'!H14</f>
        <v>7520.5</v>
      </c>
      <c r="G11" s="14">
        <f>COUNTIF('RPA-Jun2025'!C6:C13,"?*")</f>
        <v>6</v>
      </c>
    </row>
    <row r="12" spans="2:7" x14ac:dyDescent="0.25">
      <c r="B12" s="9" t="s">
        <v>13</v>
      </c>
      <c r="C12" s="10">
        <f>'RPA-Jul2025'!E14</f>
        <v>9130</v>
      </c>
      <c r="D12" s="10">
        <f>'RPA-Jul2025'!F14</f>
        <v>1004.3</v>
      </c>
      <c r="E12" s="10">
        <f>'RPA-Jul2025'!G14</f>
        <v>1826</v>
      </c>
      <c r="F12" s="10">
        <f>'RPA-Jul2025'!H14</f>
        <v>8125.7</v>
      </c>
      <c r="G12" s="11">
        <f>COUNTIF('RPA-Jul2025'!C6:C13,"?*")</f>
        <v>7</v>
      </c>
    </row>
    <row r="13" spans="2:7" x14ac:dyDescent="0.25">
      <c r="B13" s="12" t="s">
        <v>14</v>
      </c>
      <c r="C13" s="13">
        <f>'RPA-Ago2025'!E14</f>
        <v>8190</v>
      </c>
      <c r="D13" s="13">
        <f>'RPA-Ago2025'!F14</f>
        <v>900.89999999999986</v>
      </c>
      <c r="E13" s="13">
        <f>'RPA-Ago2025'!G14</f>
        <v>1638</v>
      </c>
      <c r="F13" s="13">
        <f>'RPA-Ago2025'!H14</f>
        <v>7289.0999999999995</v>
      </c>
      <c r="G13" s="14">
        <f>COUNTIF('RPA-Ago2025'!C6:C13,"?*")</f>
        <v>6</v>
      </c>
    </row>
    <row r="14" spans="2:7" x14ac:dyDescent="0.25">
      <c r="B14" s="9" t="s">
        <v>15</v>
      </c>
      <c r="C14" s="10">
        <f>'RPA-Set2025'!E14</f>
        <v>4650</v>
      </c>
      <c r="D14" s="10">
        <f>'RPA-Set2025'!F14</f>
        <v>511.5</v>
      </c>
      <c r="E14" s="10">
        <f>'RPA-Set2025'!G14</f>
        <v>930</v>
      </c>
      <c r="F14" s="10">
        <f>'RPA-Set2025'!H14</f>
        <v>4138.5</v>
      </c>
      <c r="G14" s="11">
        <f>COUNTIF('RPA-Set2025'!C6:C13,"?*")</f>
        <v>4</v>
      </c>
    </row>
    <row r="15" spans="2:7" x14ac:dyDescent="0.25">
      <c r="B15" s="12" t="s">
        <v>16</v>
      </c>
      <c r="C15" s="13">
        <f>'RPA-Out2025'!E14</f>
        <v>3340</v>
      </c>
      <c r="D15" s="13">
        <f>'RPA-Out2025'!F14</f>
        <v>367.4</v>
      </c>
      <c r="E15" s="13">
        <f>'RPA-Out2025'!G14</f>
        <v>668</v>
      </c>
      <c r="F15" s="13">
        <f>'RPA-Out2025'!H14</f>
        <v>2972.6000000000004</v>
      </c>
      <c r="G15" s="14">
        <f>COUNTIF('RPA-Out2025'!C6:C13,"?*")</f>
        <v>4</v>
      </c>
    </row>
    <row r="16" spans="2:7" x14ac:dyDescent="0.25">
      <c r="B16" s="9" t="s">
        <v>17</v>
      </c>
      <c r="C16" s="10">
        <f>'RPA-Nov2025'!E14</f>
        <v>8880</v>
      </c>
      <c r="D16" s="10">
        <f>'RPA-Nov2025'!F14</f>
        <v>976.8</v>
      </c>
      <c r="E16" s="10">
        <f>'RPA-Nov2025'!G14</f>
        <v>1776</v>
      </c>
      <c r="F16" s="10">
        <f>'RPA-Nov2025'!H14</f>
        <v>7903.2</v>
      </c>
      <c r="G16" s="11">
        <f>COUNTIF('RPA-Nov2025'!C6:C13,"?*")</f>
        <v>7</v>
      </c>
    </row>
    <row r="17" spans="2:7" x14ac:dyDescent="0.25">
      <c r="B17" s="12" t="s">
        <v>18</v>
      </c>
      <c r="C17" s="13">
        <f>'RPA-Dez2025'!E14</f>
        <v>5360</v>
      </c>
      <c r="D17" s="13">
        <f>'RPA-Dez2025'!F14</f>
        <v>589.6</v>
      </c>
      <c r="E17" s="13">
        <f>'RPA-Dez2025'!G14</f>
        <v>1072</v>
      </c>
      <c r="F17" s="13">
        <f>'RPA-Dez2025'!H14</f>
        <v>4770.3999999999996</v>
      </c>
      <c r="G17" s="14">
        <f>COUNTIF('RPA-Dez2025'!C6:C13,"?*")</f>
        <v>5</v>
      </c>
    </row>
    <row r="18" spans="2:7" x14ac:dyDescent="0.25">
      <c r="B18" s="15" t="s">
        <v>19</v>
      </c>
      <c r="C18" s="16">
        <f>SUM(C6:C17)</f>
        <v>79820</v>
      </c>
      <c r="D18" s="16">
        <f>SUM(D6:D17)</f>
        <v>8780.1999999999989</v>
      </c>
      <c r="E18" s="16">
        <f>SUM(E6:E17)</f>
        <v>15964</v>
      </c>
      <c r="F18" s="16">
        <f>SUM(F6:F17)</f>
        <v>71039.799999999988</v>
      </c>
      <c r="G18" s="17">
        <f>SUM(G6:G17)</f>
        <v>66</v>
      </c>
    </row>
    <row r="20" spans="2:7" x14ac:dyDescent="0.25">
      <c r="B20" s="18" t="s">
        <v>20</v>
      </c>
      <c r="C20" s="19" t="str">
        <f>INDEX(B6:B17,MATCH(MAX(C6:C17),C6:C17,0))</f>
        <v>Julho</v>
      </c>
    </row>
    <row r="21" spans="2:7" x14ac:dyDescent="0.25">
      <c r="B21" s="18" t="s">
        <v>21</v>
      </c>
      <c r="C21" s="20">
        <f>C18/G18</f>
        <v>1209.3939393939395</v>
      </c>
    </row>
  </sheetData>
  <mergeCells count="2">
    <mergeCell ref="B2:G2"/>
    <mergeCell ref="B3:G3"/>
  </mergeCells>
  <conditionalFormatting sqref="F6:F17">
    <cfRule type="cellIs" dxfId="0" priority="2" operator="greaterThan">
      <formula>AVERAGE(F6:F17)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zoomScaleNormal="100" workbookViewId="0">
      <selection activeCell="B16" sqref="B16"/>
    </sheetView>
  </sheetViews>
  <sheetFormatPr defaultColWidth="8.7109375" defaultRowHeight="15" x14ac:dyDescent="0.25"/>
  <cols>
    <col min="1" max="1" width="4" customWidth="1"/>
    <col min="2" max="2" width="34" customWidth="1"/>
    <col min="3" max="3" width="18.5703125" bestFit="1" customWidth="1"/>
    <col min="4" max="4" width="10.85546875" customWidth="1"/>
    <col min="5" max="5" width="4" customWidth="1"/>
  </cols>
  <sheetData>
    <row r="1" spans="1:4" ht="30" customHeight="1" x14ac:dyDescent="0.25">
      <c r="A1" s="7" t="s">
        <v>22</v>
      </c>
      <c r="B1" s="7"/>
      <c r="C1" s="7"/>
      <c r="D1" s="7"/>
    </row>
    <row r="2" spans="1:4" x14ac:dyDescent="0.25">
      <c r="A2" s="6" t="s">
        <v>69</v>
      </c>
      <c r="B2" s="6"/>
      <c r="C2" s="6"/>
      <c r="D2" s="6"/>
    </row>
    <row r="4" spans="1:4" x14ac:dyDescent="0.25">
      <c r="B4" s="5" t="s">
        <v>23</v>
      </c>
      <c r="C4" s="5"/>
    </row>
    <row r="5" spans="1:4" x14ac:dyDescent="0.25">
      <c r="B5" s="21" t="s">
        <v>24</v>
      </c>
      <c r="C5" s="22">
        <v>0.11</v>
      </c>
    </row>
    <row r="6" spans="1:4" x14ac:dyDescent="0.25">
      <c r="B6" s="21" t="s">
        <v>25</v>
      </c>
      <c r="C6" s="22">
        <v>0.2</v>
      </c>
    </row>
    <row r="8" spans="1:4" x14ac:dyDescent="0.25">
      <c r="B8" s="5" t="s">
        <v>26</v>
      </c>
      <c r="C8" s="5"/>
    </row>
    <row r="9" spans="1:4" x14ac:dyDescent="0.25">
      <c r="B9" s="21" t="s">
        <v>27</v>
      </c>
      <c r="C9" s="23" t="s">
        <v>28</v>
      </c>
    </row>
    <row r="10" spans="1:4" x14ac:dyDescent="0.25">
      <c r="B10" s="21" t="s">
        <v>29</v>
      </c>
      <c r="C10" s="23" t="s">
        <v>30</v>
      </c>
    </row>
  </sheetData>
  <mergeCells count="4">
    <mergeCell ref="A1:D1"/>
    <mergeCell ref="A2:D2"/>
    <mergeCell ref="B4:C4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7" sqref="E17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45658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45661</v>
      </c>
      <c r="C6" s="9" t="s">
        <v>38</v>
      </c>
      <c r="D6" s="27" t="s">
        <v>39</v>
      </c>
      <c r="E6" s="28">
        <v>850</v>
      </c>
      <c r="F6" s="29">
        <f t="shared" ref="F6:F13" si="0">E6*ALIQ_AUTONOMO</f>
        <v>93.5</v>
      </c>
      <c r="G6" s="29">
        <f t="shared" ref="G6:G13" si="1">E6*ALIQ_EMPRESA</f>
        <v>170</v>
      </c>
      <c r="H6" s="29">
        <f t="shared" ref="H6:H13" si="2">E6-F6</f>
        <v>756.5</v>
      </c>
    </row>
    <row r="7" spans="2:8" x14ac:dyDescent="0.25">
      <c r="B7" s="30">
        <v>45662</v>
      </c>
      <c r="C7" s="12" t="s">
        <v>40</v>
      </c>
      <c r="D7" s="31" t="s">
        <v>41</v>
      </c>
      <c r="E7" s="32">
        <v>1750</v>
      </c>
      <c r="F7" s="33">
        <f t="shared" si="0"/>
        <v>192.5</v>
      </c>
      <c r="G7" s="33">
        <f t="shared" si="1"/>
        <v>350</v>
      </c>
      <c r="H7" s="33">
        <f t="shared" si="2"/>
        <v>1557.5</v>
      </c>
    </row>
    <row r="8" spans="2:8" x14ac:dyDescent="0.25">
      <c r="B8" s="26">
        <v>45663</v>
      </c>
      <c r="C8" s="9" t="s">
        <v>42</v>
      </c>
      <c r="D8" s="27" t="s">
        <v>43</v>
      </c>
      <c r="E8" s="28">
        <v>1600</v>
      </c>
      <c r="F8" s="29">
        <f t="shared" si="0"/>
        <v>176</v>
      </c>
      <c r="G8" s="29">
        <f t="shared" si="1"/>
        <v>320</v>
      </c>
      <c r="H8" s="29">
        <f t="shared" si="2"/>
        <v>1424</v>
      </c>
    </row>
    <row r="9" spans="2:8" x14ac:dyDescent="0.25">
      <c r="B9" s="30">
        <v>45667</v>
      </c>
      <c r="C9" s="12" t="s">
        <v>44</v>
      </c>
      <c r="D9" s="31" t="s">
        <v>45</v>
      </c>
      <c r="E9" s="32">
        <v>650</v>
      </c>
      <c r="F9" s="33">
        <f t="shared" si="0"/>
        <v>71.5</v>
      </c>
      <c r="G9" s="33">
        <f t="shared" si="1"/>
        <v>130</v>
      </c>
      <c r="H9" s="33">
        <f t="shared" si="2"/>
        <v>578.5</v>
      </c>
    </row>
    <row r="10" spans="2:8" x14ac:dyDescent="0.25">
      <c r="B10" s="11"/>
      <c r="C10" s="9"/>
      <c r="D10" s="27"/>
      <c r="E10" s="10"/>
      <c r="F10" s="29">
        <f t="shared" si="0"/>
        <v>0</v>
      </c>
      <c r="G10" s="29">
        <f t="shared" si="1"/>
        <v>0</v>
      </c>
      <c r="H10" s="29">
        <f t="shared" si="2"/>
        <v>0</v>
      </c>
    </row>
    <row r="11" spans="2:8" x14ac:dyDescent="0.25">
      <c r="B11" s="14"/>
      <c r="C11" s="12"/>
      <c r="D11" s="31"/>
      <c r="E11" s="13"/>
      <c r="F11" s="33">
        <f t="shared" si="0"/>
        <v>0</v>
      </c>
      <c r="G11" s="33">
        <f t="shared" si="1"/>
        <v>0</v>
      </c>
      <c r="H11" s="33">
        <f t="shared" si="2"/>
        <v>0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4850</v>
      </c>
      <c r="F14" s="16">
        <f>SUM(F6:F13)</f>
        <v>533.5</v>
      </c>
      <c r="G14" s="16">
        <f>SUM(G6:G13)</f>
        <v>970</v>
      </c>
      <c r="H14" s="16">
        <f>SUM(H6:H13)</f>
        <v>4316.5</v>
      </c>
    </row>
    <row r="15" spans="2:8" x14ac:dyDescent="0.25">
      <c r="B15" s="1"/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45689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45691</v>
      </c>
      <c r="C6" s="9" t="s">
        <v>48</v>
      </c>
      <c r="D6" s="27" t="s">
        <v>49</v>
      </c>
      <c r="E6" s="28">
        <v>1480</v>
      </c>
      <c r="F6" s="29">
        <f t="shared" ref="F6:F13" si="0">E6*ALIQ_AUTONOMO</f>
        <v>162.80000000000001</v>
      </c>
      <c r="G6" s="29">
        <f t="shared" ref="G6:G13" si="1">E6*ALIQ_EMPRESA</f>
        <v>296</v>
      </c>
      <c r="H6" s="29">
        <f t="shared" ref="H6:H13" si="2">E6-F6</f>
        <v>1317.2</v>
      </c>
    </row>
    <row r="7" spans="2:8" x14ac:dyDescent="0.25">
      <c r="B7" s="30">
        <v>45693</v>
      </c>
      <c r="C7" s="12" t="s">
        <v>44</v>
      </c>
      <c r="D7" s="31" t="s">
        <v>45</v>
      </c>
      <c r="E7" s="32">
        <v>1900</v>
      </c>
      <c r="F7" s="33">
        <f t="shared" si="0"/>
        <v>209</v>
      </c>
      <c r="G7" s="33">
        <f t="shared" si="1"/>
        <v>380</v>
      </c>
      <c r="H7" s="33">
        <f t="shared" si="2"/>
        <v>1691</v>
      </c>
    </row>
    <row r="8" spans="2:8" x14ac:dyDescent="0.25">
      <c r="B8" s="26">
        <v>45697</v>
      </c>
      <c r="C8" s="9" t="s">
        <v>50</v>
      </c>
      <c r="D8" s="27" t="s">
        <v>51</v>
      </c>
      <c r="E8" s="28">
        <v>930</v>
      </c>
      <c r="F8" s="29">
        <f t="shared" si="0"/>
        <v>102.3</v>
      </c>
      <c r="G8" s="29">
        <f t="shared" si="1"/>
        <v>186</v>
      </c>
      <c r="H8" s="29">
        <f t="shared" si="2"/>
        <v>827.7</v>
      </c>
    </row>
    <row r="9" spans="2:8" x14ac:dyDescent="0.25">
      <c r="B9" s="30">
        <v>45701</v>
      </c>
      <c r="C9" s="12" t="s">
        <v>52</v>
      </c>
      <c r="D9" s="31" t="s">
        <v>53</v>
      </c>
      <c r="E9" s="32">
        <v>1600</v>
      </c>
      <c r="F9" s="33">
        <f t="shared" si="0"/>
        <v>176</v>
      </c>
      <c r="G9" s="33">
        <f t="shared" si="1"/>
        <v>320</v>
      </c>
      <c r="H9" s="33">
        <f t="shared" si="2"/>
        <v>1424</v>
      </c>
    </row>
    <row r="10" spans="2:8" x14ac:dyDescent="0.25">
      <c r="B10" s="11"/>
      <c r="C10" s="9"/>
      <c r="D10" s="27"/>
      <c r="E10" s="10"/>
      <c r="F10" s="29">
        <f t="shared" si="0"/>
        <v>0</v>
      </c>
      <c r="G10" s="29">
        <f t="shared" si="1"/>
        <v>0</v>
      </c>
      <c r="H10" s="29">
        <f t="shared" si="2"/>
        <v>0</v>
      </c>
    </row>
    <row r="11" spans="2:8" x14ac:dyDescent="0.25">
      <c r="B11" s="14"/>
      <c r="C11" s="12"/>
      <c r="D11" s="31"/>
      <c r="E11" s="13"/>
      <c r="F11" s="33">
        <f t="shared" si="0"/>
        <v>0</v>
      </c>
      <c r="G11" s="33">
        <f t="shared" si="1"/>
        <v>0</v>
      </c>
      <c r="H11" s="33">
        <f t="shared" si="2"/>
        <v>0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5910</v>
      </c>
      <c r="F14" s="16">
        <f>SUM(F6:F13)</f>
        <v>650.1</v>
      </c>
      <c r="G14" s="16">
        <f>SUM(G6:G13)</f>
        <v>1182</v>
      </c>
      <c r="H14" s="16">
        <f>SUM(H6:H13)</f>
        <v>5259.9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4" sqref="F4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45717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45720</v>
      </c>
      <c r="C6" s="9" t="s">
        <v>50</v>
      </c>
      <c r="D6" s="27" t="s">
        <v>51</v>
      </c>
      <c r="E6" s="28">
        <v>930</v>
      </c>
      <c r="F6" s="29">
        <f t="shared" ref="F6:F13" si="0">E6*ALIQ_AUTONOMO</f>
        <v>102.3</v>
      </c>
      <c r="G6" s="29">
        <f t="shared" ref="G6:G13" si="1">E6*ALIQ_EMPRESA</f>
        <v>186</v>
      </c>
      <c r="H6" s="29">
        <f t="shared" ref="H6:H13" si="2">E6-F6</f>
        <v>827.7</v>
      </c>
    </row>
    <row r="7" spans="2:8" x14ac:dyDescent="0.25">
      <c r="B7" s="30">
        <v>45723</v>
      </c>
      <c r="C7" s="12" t="s">
        <v>38</v>
      </c>
      <c r="D7" s="31" t="s">
        <v>39</v>
      </c>
      <c r="E7" s="32">
        <v>780</v>
      </c>
      <c r="F7" s="33">
        <f t="shared" si="0"/>
        <v>85.8</v>
      </c>
      <c r="G7" s="33">
        <f t="shared" si="1"/>
        <v>156</v>
      </c>
      <c r="H7" s="33">
        <f t="shared" si="2"/>
        <v>694.2</v>
      </c>
    </row>
    <row r="8" spans="2:8" x14ac:dyDescent="0.25">
      <c r="B8" s="26">
        <v>45724</v>
      </c>
      <c r="C8" s="9" t="s">
        <v>54</v>
      </c>
      <c r="D8" s="27" t="s">
        <v>55</v>
      </c>
      <c r="E8" s="28">
        <v>1200</v>
      </c>
      <c r="F8" s="29">
        <f t="shared" si="0"/>
        <v>132</v>
      </c>
      <c r="G8" s="29">
        <f t="shared" si="1"/>
        <v>240</v>
      </c>
      <c r="H8" s="29">
        <f t="shared" si="2"/>
        <v>1068</v>
      </c>
    </row>
    <row r="9" spans="2:8" x14ac:dyDescent="0.25">
      <c r="B9" s="30">
        <v>45725</v>
      </c>
      <c r="C9" s="12" t="s">
        <v>56</v>
      </c>
      <c r="D9" s="31" t="s">
        <v>57</v>
      </c>
      <c r="E9" s="32">
        <v>1120</v>
      </c>
      <c r="F9" s="33">
        <f t="shared" si="0"/>
        <v>123.2</v>
      </c>
      <c r="G9" s="33">
        <f t="shared" si="1"/>
        <v>224</v>
      </c>
      <c r="H9" s="33">
        <f t="shared" si="2"/>
        <v>996.8</v>
      </c>
    </row>
    <row r="10" spans="2:8" x14ac:dyDescent="0.25">
      <c r="B10" s="26">
        <v>45728</v>
      </c>
      <c r="C10" s="9" t="s">
        <v>58</v>
      </c>
      <c r="D10" s="27" t="s">
        <v>59</v>
      </c>
      <c r="E10" s="28">
        <v>1600</v>
      </c>
      <c r="F10" s="29">
        <f t="shared" si="0"/>
        <v>176</v>
      </c>
      <c r="G10" s="29">
        <f t="shared" si="1"/>
        <v>320</v>
      </c>
      <c r="H10" s="29">
        <f t="shared" si="2"/>
        <v>1424</v>
      </c>
    </row>
    <row r="11" spans="2:8" x14ac:dyDescent="0.25">
      <c r="B11" s="30">
        <v>45731</v>
      </c>
      <c r="C11" s="12" t="s">
        <v>42</v>
      </c>
      <c r="D11" s="31" t="s">
        <v>43</v>
      </c>
      <c r="E11" s="32">
        <v>650</v>
      </c>
      <c r="F11" s="33">
        <f t="shared" si="0"/>
        <v>71.5</v>
      </c>
      <c r="G11" s="33">
        <f t="shared" si="1"/>
        <v>130</v>
      </c>
      <c r="H11" s="33">
        <f t="shared" si="2"/>
        <v>578.5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6280</v>
      </c>
      <c r="F14" s="16">
        <f>SUM(F6:F13)</f>
        <v>690.8</v>
      </c>
      <c r="G14" s="16">
        <f>SUM(G6:G13)</f>
        <v>1256</v>
      </c>
      <c r="H14" s="16">
        <f>SUM(H6:H13)</f>
        <v>5589.2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2" sqref="B12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45748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45751</v>
      </c>
      <c r="C6" s="9" t="s">
        <v>52</v>
      </c>
      <c r="D6" s="27" t="s">
        <v>53</v>
      </c>
      <c r="E6" s="28">
        <v>1900</v>
      </c>
      <c r="F6" s="29">
        <f t="shared" ref="F6:F13" si="0">E6*ALIQ_AUTONOMO</f>
        <v>209</v>
      </c>
      <c r="G6" s="29">
        <f t="shared" ref="G6:G13" si="1">E6*ALIQ_EMPRESA</f>
        <v>380</v>
      </c>
      <c r="H6" s="29">
        <f t="shared" ref="H6:H13" si="2">E6-F6</f>
        <v>1691</v>
      </c>
    </row>
    <row r="7" spans="2:8" x14ac:dyDescent="0.25">
      <c r="B7" s="30">
        <v>45752</v>
      </c>
      <c r="C7" s="12" t="s">
        <v>48</v>
      </c>
      <c r="D7" s="31" t="s">
        <v>49</v>
      </c>
      <c r="E7" s="32">
        <v>650</v>
      </c>
      <c r="F7" s="33">
        <f t="shared" si="0"/>
        <v>71.5</v>
      </c>
      <c r="G7" s="33">
        <f t="shared" si="1"/>
        <v>130</v>
      </c>
      <c r="H7" s="33">
        <f t="shared" si="2"/>
        <v>578.5</v>
      </c>
    </row>
    <row r="8" spans="2:8" x14ac:dyDescent="0.25">
      <c r="B8" s="26">
        <v>45754</v>
      </c>
      <c r="C8" s="9" t="s">
        <v>56</v>
      </c>
      <c r="D8" s="27" t="s">
        <v>57</v>
      </c>
      <c r="E8" s="28">
        <v>1050</v>
      </c>
      <c r="F8" s="29">
        <f t="shared" si="0"/>
        <v>115.5</v>
      </c>
      <c r="G8" s="29">
        <f t="shared" si="1"/>
        <v>210</v>
      </c>
      <c r="H8" s="29">
        <f t="shared" si="2"/>
        <v>934.5</v>
      </c>
    </row>
    <row r="9" spans="2:8" x14ac:dyDescent="0.25">
      <c r="B9" s="30">
        <v>45755</v>
      </c>
      <c r="C9" s="12" t="s">
        <v>50</v>
      </c>
      <c r="D9" s="31" t="s">
        <v>51</v>
      </c>
      <c r="E9" s="32">
        <v>930</v>
      </c>
      <c r="F9" s="33">
        <f t="shared" si="0"/>
        <v>102.3</v>
      </c>
      <c r="G9" s="33">
        <f t="shared" si="1"/>
        <v>186</v>
      </c>
      <c r="H9" s="33">
        <f t="shared" si="2"/>
        <v>827.7</v>
      </c>
    </row>
    <row r="10" spans="2:8" x14ac:dyDescent="0.25">
      <c r="B10" s="26">
        <v>45756</v>
      </c>
      <c r="C10" s="9" t="s">
        <v>60</v>
      </c>
      <c r="D10" s="27" t="s">
        <v>61</v>
      </c>
      <c r="E10" s="28">
        <v>1200</v>
      </c>
      <c r="F10" s="29">
        <f t="shared" si="0"/>
        <v>132</v>
      </c>
      <c r="G10" s="29">
        <f t="shared" si="1"/>
        <v>240</v>
      </c>
      <c r="H10" s="29">
        <f t="shared" si="2"/>
        <v>1068</v>
      </c>
    </row>
    <row r="11" spans="2:8" x14ac:dyDescent="0.25">
      <c r="B11" s="30">
        <v>45759</v>
      </c>
      <c r="C11" s="12" t="s">
        <v>42</v>
      </c>
      <c r="D11" s="31" t="s">
        <v>43</v>
      </c>
      <c r="E11" s="32">
        <v>1350</v>
      </c>
      <c r="F11" s="33">
        <f t="shared" si="0"/>
        <v>148.5</v>
      </c>
      <c r="G11" s="33">
        <f t="shared" si="1"/>
        <v>270</v>
      </c>
      <c r="H11" s="33">
        <f t="shared" si="2"/>
        <v>1201.5</v>
      </c>
    </row>
    <row r="12" spans="2:8" x14ac:dyDescent="0.25">
      <c r="B12" s="26">
        <v>45762</v>
      </c>
      <c r="C12" s="9" t="s">
        <v>58</v>
      </c>
      <c r="D12" s="27" t="s">
        <v>59</v>
      </c>
      <c r="E12" s="28">
        <v>850</v>
      </c>
      <c r="F12" s="29">
        <f t="shared" si="0"/>
        <v>93.5</v>
      </c>
      <c r="G12" s="29">
        <f t="shared" si="1"/>
        <v>170</v>
      </c>
      <c r="H12" s="29">
        <f t="shared" si="2"/>
        <v>756.5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7930</v>
      </c>
      <c r="F14" s="16">
        <f>SUM(F6:F13)</f>
        <v>872.3</v>
      </c>
      <c r="G14" s="16">
        <f>SUM(G6:G13)</f>
        <v>1586</v>
      </c>
      <c r="H14" s="16">
        <f>SUM(H6:H13)</f>
        <v>7057.7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0" sqref="C20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45778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45781</v>
      </c>
      <c r="C6" s="9" t="s">
        <v>58</v>
      </c>
      <c r="D6" s="27" t="s">
        <v>59</v>
      </c>
      <c r="E6" s="28">
        <v>850</v>
      </c>
      <c r="F6" s="29">
        <f t="shared" ref="F6:F13" si="0">E6*ALIQ_AUTONOMO</f>
        <v>93.5</v>
      </c>
      <c r="G6" s="29">
        <f t="shared" ref="G6:G13" si="1">E6*ALIQ_EMPRESA</f>
        <v>170</v>
      </c>
      <c r="H6" s="29">
        <f t="shared" ref="H6:H13" si="2">E6-F6</f>
        <v>756.5</v>
      </c>
    </row>
    <row r="7" spans="2:8" x14ac:dyDescent="0.25">
      <c r="B7" s="30">
        <v>45785</v>
      </c>
      <c r="C7" s="12" t="s">
        <v>44</v>
      </c>
      <c r="D7" s="31" t="s">
        <v>45</v>
      </c>
      <c r="E7" s="32">
        <v>1200</v>
      </c>
      <c r="F7" s="33">
        <f t="shared" si="0"/>
        <v>132</v>
      </c>
      <c r="G7" s="33">
        <f t="shared" si="1"/>
        <v>240</v>
      </c>
      <c r="H7" s="33">
        <f t="shared" si="2"/>
        <v>1068</v>
      </c>
    </row>
    <row r="8" spans="2:8" x14ac:dyDescent="0.25">
      <c r="B8" s="26">
        <v>45788</v>
      </c>
      <c r="C8" s="9" t="s">
        <v>62</v>
      </c>
      <c r="D8" s="27" t="s">
        <v>63</v>
      </c>
      <c r="E8" s="28">
        <v>1750</v>
      </c>
      <c r="F8" s="29">
        <f t="shared" si="0"/>
        <v>192.5</v>
      </c>
      <c r="G8" s="29">
        <f t="shared" si="1"/>
        <v>350</v>
      </c>
      <c r="H8" s="29">
        <f t="shared" si="2"/>
        <v>1557.5</v>
      </c>
    </row>
    <row r="9" spans="2:8" x14ac:dyDescent="0.25">
      <c r="B9" s="30">
        <v>45790</v>
      </c>
      <c r="C9" s="12" t="s">
        <v>42</v>
      </c>
      <c r="D9" s="31" t="s">
        <v>43</v>
      </c>
      <c r="E9" s="32">
        <v>1750</v>
      </c>
      <c r="F9" s="33">
        <f t="shared" si="0"/>
        <v>192.5</v>
      </c>
      <c r="G9" s="33">
        <f t="shared" si="1"/>
        <v>350</v>
      </c>
      <c r="H9" s="33">
        <f t="shared" si="2"/>
        <v>1557.5</v>
      </c>
    </row>
    <row r="10" spans="2:8" x14ac:dyDescent="0.25">
      <c r="B10" s="26">
        <v>45793</v>
      </c>
      <c r="C10" s="9" t="s">
        <v>48</v>
      </c>
      <c r="D10" s="27" t="s">
        <v>49</v>
      </c>
      <c r="E10" s="28">
        <v>650</v>
      </c>
      <c r="F10" s="29">
        <f t="shared" si="0"/>
        <v>71.5</v>
      </c>
      <c r="G10" s="29">
        <f t="shared" si="1"/>
        <v>130</v>
      </c>
      <c r="H10" s="29">
        <f t="shared" si="2"/>
        <v>578.5</v>
      </c>
    </row>
    <row r="11" spans="2:8" x14ac:dyDescent="0.25">
      <c r="B11" s="30">
        <v>45795</v>
      </c>
      <c r="C11" s="12" t="s">
        <v>54</v>
      </c>
      <c r="D11" s="31" t="s">
        <v>55</v>
      </c>
      <c r="E11" s="32">
        <v>650</v>
      </c>
      <c r="F11" s="33">
        <f t="shared" si="0"/>
        <v>71.5</v>
      </c>
      <c r="G11" s="33">
        <f t="shared" si="1"/>
        <v>130</v>
      </c>
      <c r="H11" s="33">
        <f t="shared" si="2"/>
        <v>578.5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6850</v>
      </c>
      <c r="F14" s="16">
        <f>SUM(F6:F13)</f>
        <v>753.5</v>
      </c>
      <c r="G14" s="16">
        <f>SUM(G6:G13)</f>
        <v>1370</v>
      </c>
      <c r="H14" s="16">
        <f>SUM(H6:H13)</f>
        <v>6096.5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45809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45812</v>
      </c>
      <c r="C6" s="9" t="s">
        <v>56</v>
      </c>
      <c r="D6" s="27" t="s">
        <v>57</v>
      </c>
      <c r="E6" s="28">
        <v>1750</v>
      </c>
      <c r="F6" s="29">
        <f t="shared" ref="F6:F13" si="0">E6*ALIQ_AUTONOMO</f>
        <v>192.5</v>
      </c>
      <c r="G6" s="29">
        <f t="shared" ref="G6:G13" si="1">E6*ALIQ_EMPRESA</f>
        <v>350</v>
      </c>
      <c r="H6" s="29">
        <f t="shared" ref="H6:H13" si="2">E6-F6</f>
        <v>1557.5</v>
      </c>
    </row>
    <row r="7" spans="2:8" x14ac:dyDescent="0.25">
      <c r="B7" s="30">
        <v>45816</v>
      </c>
      <c r="C7" s="12" t="s">
        <v>42</v>
      </c>
      <c r="D7" s="31" t="s">
        <v>43</v>
      </c>
      <c r="E7" s="32">
        <v>1200</v>
      </c>
      <c r="F7" s="33">
        <f t="shared" si="0"/>
        <v>132</v>
      </c>
      <c r="G7" s="33">
        <f t="shared" si="1"/>
        <v>240</v>
      </c>
      <c r="H7" s="33">
        <f t="shared" si="2"/>
        <v>1068</v>
      </c>
    </row>
    <row r="8" spans="2:8" x14ac:dyDescent="0.25">
      <c r="B8" s="26">
        <v>45820</v>
      </c>
      <c r="C8" s="9" t="s">
        <v>48</v>
      </c>
      <c r="D8" s="27" t="s">
        <v>49</v>
      </c>
      <c r="E8" s="28">
        <v>850</v>
      </c>
      <c r="F8" s="29">
        <f t="shared" si="0"/>
        <v>93.5</v>
      </c>
      <c r="G8" s="29">
        <f t="shared" si="1"/>
        <v>170</v>
      </c>
      <c r="H8" s="29">
        <f t="shared" si="2"/>
        <v>756.5</v>
      </c>
    </row>
    <row r="9" spans="2:8" x14ac:dyDescent="0.25">
      <c r="B9" s="30">
        <v>45823</v>
      </c>
      <c r="C9" s="12" t="s">
        <v>44</v>
      </c>
      <c r="D9" s="31" t="s">
        <v>45</v>
      </c>
      <c r="E9" s="32">
        <v>850</v>
      </c>
      <c r="F9" s="33">
        <f t="shared" si="0"/>
        <v>93.5</v>
      </c>
      <c r="G9" s="33">
        <f t="shared" si="1"/>
        <v>170</v>
      </c>
      <c r="H9" s="33">
        <f t="shared" si="2"/>
        <v>756.5</v>
      </c>
    </row>
    <row r="10" spans="2:8" x14ac:dyDescent="0.25">
      <c r="B10" s="26">
        <v>45825</v>
      </c>
      <c r="C10" s="9" t="s">
        <v>64</v>
      </c>
      <c r="D10" s="27" t="s">
        <v>65</v>
      </c>
      <c r="E10" s="28">
        <v>1900</v>
      </c>
      <c r="F10" s="29">
        <f t="shared" si="0"/>
        <v>209</v>
      </c>
      <c r="G10" s="29">
        <f t="shared" si="1"/>
        <v>380</v>
      </c>
      <c r="H10" s="29">
        <f t="shared" si="2"/>
        <v>1691</v>
      </c>
    </row>
    <row r="11" spans="2:8" x14ac:dyDescent="0.25">
      <c r="B11" s="30">
        <v>45828</v>
      </c>
      <c r="C11" s="12" t="s">
        <v>58</v>
      </c>
      <c r="D11" s="31" t="s">
        <v>59</v>
      </c>
      <c r="E11" s="32">
        <v>1900</v>
      </c>
      <c r="F11" s="33">
        <f t="shared" si="0"/>
        <v>209</v>
      </c>
      <c r="G11" s="33">
        <f t="shared" si="1"/>
        <v>380</v>
      </c>
      <c r="H11" s="33">
        <f t="shared" si="2"/>
        <v>1691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8450</v>
      </c>
      <c r="F14" s="16">
        <f>SUM(F6:F13)</f>
        <v>929.5</v>
      </c>
      <c r="G14" s="16">
        <f>SUM(G6:G13)</f>
        <v>1690</v>
      </c>
      <c r="H14" s="16">
        <f>SUM(H6:H13)</f>
        <v>7520.5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45839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45841</v>
      </c>
      <c r="C6" s="9" t="s">
        <v>64</v>
      </c>
      <c r="D6" s="27" t="s">
        <v>65</v>
      </c>
      <c r="E6" s="28">
        <v>650</v>
      </c>
      <c r="F6" s="29">
        <f t="shared" ref="F6:F13" si="0">E6*ALIQ_AUTONOMO</f>
        <v>71.5</v>
      </c>
      <c r="G6" s="29">
        <f t="shared" ref="G6:G13" si="1">E6*ALIQ_EMPRESA</f>
        <v>130</v>
      </c>
      <c r="H6" s="29">
        <f t="shared" ref="H6:H13" si="2">E6-F6</f>
        <v>578.5</v>
      </c>
    </row>
    <row r="7" spans="2:8" x14ac:dyDescent="0.25">
      <c r="B7" s="30">
        <v>45842</v>
      </c>
      <c r="C7" s="12" t="s">
        <v>56</v>
      </c>
      <c r="D7" s="31" t="s">
        <v>57</v>
      </c>
      <c r="E7" s="32">
        <v>850</v>
      </c>
      <c r="F7" s="33">
        <f t="shared" si="0"/>
        <v>93.5</v>
      </c>
      <c r="G7" s="33">
        <f t="shared" si="1"/>
        <v>170</v>
      </c>
      <c r="H7" s="33">
        <f t="shared" si="2"/>
        <v>756.5</v>
      </c>
    </row>
    <row r="8" spans="2:8" x14ac:dyDescent="0.25">
      <c r="B8" s="26">
        <v>45844</v>
      </c>
      <c r="C8" s="9" t="s">
        <v>58</v>
      </c>
      <c r="D8" s="27" t="s">
        <v>59</v>
      </c>
      <c r="E8" s="28">
        <v>1750</v>
      </c>
      <c r="F8" s="29">
        <f t="shared" si="0"/>
        <v>192.5</v>
      </c>
      <c r="G8" s="29">
        <f t="shared" si="1"/>
        <v>350</v>
      </c>
      <c r="H8" s="29">
        <f t="shared" si="2"/>
        <v>1557.5</v>
      </c>
    </row>
    <row r="9" spans="2:8" x14ac:dyDescent="0.25">
      <c r="B9" s="30">
        <v>45848</v>
      </c>
      <c r="C9" s="12" t="s">
        <v>44</v>
      </c>
      <c r="D9" s="31" t="s">
        <v>45</v>
      </c>
      <c r="E9" s="32">
        <v>1600</v>
      </c>
      <c r="F9" s="33">
        <f t="shared" si="0"/>
        <v>176</v>
      </c>
      <c r="G9" s="33">
        <f t="shared" si="1"/>
        <v>320</v>
      </c>
      <c r="H9" s="33">
        <f t="shared" si="2"/>
        <v>1424</v>
      </c>
    </row>
    <row r="10" spans="2:8" x14ac:dyDescent="0.25">
      <c r="B10" s="26">
        <v>45849</v>
      </c>
      <c r="C10" s="9" t="s">
        <v>54</v>
      </c>
      <c r="D10" s="27" t="s">
        <v>55</v>
      </c>
      <c r="E10" s="28">
        <v>1200</v>
      </c>
      <c r="F10" s="29">
        <f t="shared" si="0"/>
        <v>132</v>
      </c>
      <c r="G10" s="29">
        <f t="shared" si="1"/>
        <v>240</v>
      </c>
      <c r="H10" s="29">
        <f t="shared" si="2"/>
        <v>1068</v>
      </c>
    </row>
    <row r="11" spans="2:8" x14ac:dyDescent="0.25">
      <c r="B11" s="30">
        <v>45853</v>
      </c>
      <c r="C11" s="12" t="s">
        <v>52</v>
      </c>
      <c r="D11" s="31" t="s">
        <v>53</v>
      </c>
      <c r="E11" s="32">
        <v>1600</v>
      </c>
      <c r="F11" s="33">
        <f t="shared" si="0"/>
        <v>176</v>
      </c>
      <c r="G11" s="33">
        <f t="shared" si="1"/>
        <v>320</v>
      </c>
      <c r="H11" s="33">
        <f t="shared" si="2"/>
        <v>1424</v>
      </c>
    </row>
    <row r="12" spans="2:8" x14ac:dyDescent="0.25">
      <c r="B12" s="26">
        <v>45857</v>
      </c>
      <c r="C12" s="9" t="s">
        <v>66</v>
      </c>
      <c r="D12" s="27" t="s">
        <v>67</v>
      </c>
      <c r="E12" s="28">
        <v>1480</v>
      </c>
      <c r="F12" s="29">
        <f t="shared" si="0"/>
        <v>162.80000000000001</v>
      </c>
      <c r="G12" s="29">
        <f t="shared" si="1"/>
        <v>296</v>
      </c>
      <c r="H12" s="29">
        <f t="shared" si="2"/>
        <v>1317.2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9130</v>
      </c>
      <c r="F14" s="16">
        <f>SUM(F6:F13)</f>
        <v>1004.3</v>
      </c>
      <c r="G14" s="16">
        <f>SUM(G6:G13)</f>
        <v>1826</v>
      </c>
      <c r="H14" s="16">
        <f>SUM(H6:H13)</f>
        <v>8125.7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9" sqref="C19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45870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45874</v>
      </c>
      <c r="C6" s="9" t="s">
        <v>52</v>
      </c>
      <c r="D6" s="27" t="s">
        <v>53</v>
      </c>
      <c r="E6" s="28">
        <v>780</v>
      </c>
      <c r="F6" s="29">
        <f t="shared" ref="F6:F13" si="0">E6*ALIQ_AUTONOMO</f>
        <v>85.8</v>
      </c>
      <c r="G6" s="29">
        <f t="shared" ref="G6:G13" si="1">E6*ALIQ_EMPRESA</f>
        <v>156</v>
      </c>
      <c r="H6" s="29">
        <f t="shared" ref="H6:H13" si="2">E6-F6</f>
        <v>694.2</v>
      </c>
    </row>
    <row r="7" spans="2:8" x14ac:dyDescent="0.25">
      <c r="B7" s="30">
        <v>45877</v>
      </c>
      <c r="C7" s="12" t="s">
        <v>38</v>
      </c>
      <c r="D7" s="31" t="s">
        <v>39</v>
      </c>
      <c r="E7" s="32">
        <v>1200</v>
      </c>
      <c r="F7" s="33">
        <f t="shared" si="0"/>
        <v>132</v>
      </c>
      <c r="G7" s="33">
        <f t="shared" si="1"/>
        <v>240</v>
      </c>
      <c r="H7" s="33">
        <f t="shared" si="2"/>
        <v>1068</v>
      </c>
    </row>
    <row r="8" spans="2:8" x14ac:dyDescent="0.25">
      <c r="B8" s="26">
        <v>45879</v>
      </c>
      <c r="C8" s="9" t="s">
        <v>62</v>
      </c>
      <c r="D8" s="27" t="s">
        <v>63</v>
      </c>
      <c r="E8" s="28">
        <v>1350</v>
      </c>
      <c r="F8" s="29">
        <f t="shared" si="0"/>
        <v>148.5</v>
      </c>
      <c r="G8" s="29">
        <f t="shared" si="1"/>
        <v>270</v>
      </c>
      <c r="H8" s="29">
        <f t="shared" si="2"/>
        <v>1201.5</v>
      </c>
    </row>
    <row r="9" spans="2:8" x14ac:dyDescent="0.25">
      <c r="B9" s="30">
        <v>45880</v>
      </c>
      <c r="C9" s="12" t="s">
        <v>48</v>
      </c>
      <c r="D9" s="31" t="s">
        <v>49</v>
      </c>
      <c r="E9" s="32">
        <v>1900</v>
      </c>
      <c r="F9" s="33">
        <f t="shared" si="0"/>
        <v>209</v>
      </c>
      <c r="G9" s="33">
        <f t="shared" si="1"/>
        <v>380</v>
      </c>
      <c r="H9" s="33">
        <f t="shared" si="2"/>
        <v>1691</v>
      </c>
    </row>
    <row r="10" spans="2:8" x14ac:dyDescent="0.25">
      <c r="B10" s="26">
        <v>45883</v>
      </c>
      <c r="C10" s="9" t="s">
        <v>60</v>
      </c>
      <c r="D10" s="27" t="s">
        <v>61</v>
      </c>
      <c r="E10" s="28">
        <v>1480</v>
      </c>
      <c r="F10" s="29">
        <f t="shared" si="0"/>
        <v>162.80000000000001</v>
      </c>
      <c r="G10" s="29">
        <f t="shared" si="1"/>
        <v>296</v>
      </c>
      <c r="H10" s="29">
        <f t="shared" si="2"/>
        <v>1317.2</v>
      </c>
    </row>
    <row r="11" spans="2:8" x14ac:dyDescent="0.25">
      <c r="B11" s="30">
        <v>45885</v>
      </c>
      <c r="C11" s="12" t="s">
        <v>42</v>
      </c>
      <c r="D11" s="31" t="s">
        <v>43</v>
      </c>
      <c r="E11" s="32">
        <v>1480</v>
      </c>
      <c r="F11" s="33">
        <f t="shared" si="0"/>
        <v>162.80000000000001</v>
      </c>
      <c r="G11" s="33">
        <f t="shared" si="1"/>
        <v>296</v>
      </c>
      <c r="H11" s="33">
        <f t="shared" si="2"/>
        <v>1317.2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8190</v>
      </c>
      <c r="F14" s="16">
        <f>SUM(F6:F13)</f>
        <v>900.89999999999986</v>
      </c>
      <c r="G14" s="16">
        <f>SUM(G6:G13)</f>
        <v>1638</v>
      </c>
      <c r="H14" s="16">
        <f>SUM(H6:H13)</f>
        <v>7289.0999999999995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45901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45904</v>
      </c>
      <c r="C6" s="9" t="s">
        <v>60</v>
      </c>
      <c r="D6" s="27" t="s">
        <v>61</v>
      </c>
      <c r="E6" s="28">
        <v>850</v>
      </c>
      <c r="F6" s="29">
        <f t="shared" ref="F6:F13" si="0">E6*ALIQ_AUTONOMO</f>
        <v>93.5</v>
      </c>
      <c r="G6" s="29">
        <f t="shared" ref="G6:G13" si="1">E6*ALIQ_EMPRESA</f>
        <v>170</v>
      </c>
      <c r="H6" s="29">
        <f t="shared" ref="H6:H13" si="2">E6-F6</f>
        <v>756.5</v>
      </c>
    </row>
    <row r="7" spans="2:8" x14ac:dyDescent="0.25">
      <c r="B7" s="30">
        <v>45907</v>
      </c>
      <c r="C7" s="12" t="s">
        <v>62</v>
      </c>
      <c r="D7" s="31" t="s">
        <v>63</v>
      </c>
      <c r="E7" s="32">
        <v>850</v>
      </c>
      <c r="F7" s="33">
        <f t="shared" si="0"/>
        <v>93.5</v>
      </c>
      <c r="G7" s="33">
        <f t="shared" si="1"/>
        <v>170</v>
      </c>
      <c r="H7" s="33">
        <f t="shared" si="2"/>
        <v>756.5</v>
      </c>
    </row>
    <row r="8" spans="2:8" x14ac:dyDescent="0.25">
      <c r="B8" s="26">
        <v>45908</v>
      </c>
      <c r="C8" s="9" t="s">
        <v>42</v>
      </c>
      <c r="D8" s="27" t="s">
        <v>43</v>
      </c>
      <c r="E8" s="28">
        <v>1600</v>
      </c>
      <c r="F8" s="29">
        <f t="shared" si="0"/>
        <v>176</v>
      </c>
      <c r="G8" s="29">
        <f t="shared" si="1"/>
        <v>320</v>
      </c>
      <c r="H8" s="29">
        <f t="shared" si="2"/>
        <v>1424</v>
      </c>
    </row>
    <row r="9" spans="2:8" x14ac:dyDescent="0.25">
      <c r="B9" s="30">
        <v>45911</v>
      </c>
      <c r="C9" s="12" t="s">
        <v>50</v>
      </c>
      <c r="D9" s="31" t="s">
        <v>51</v>
      </c>
      <c r="E9" s="32">
        <v>1350</v>
      </c>
      <c r="F9" s="33">
        <f t="shared" si="0"/>
        <v>148.5</v>
      </c>
      <c r="G9" s="33">
        <f t="shared" si="1"/>
        <v>270</v>
      </c>
      <c r="H9" s="33">
        <f t="shared" si="2"/>
        <v>1201.5</v>
      </c>
    </row>
    <row r="10" spans="2:8" x14ac:dyDescent="0.25">
      <c r="B10" s="11"/>
      <c r="C10" s="9"/>
      <c r="D10" s="27"/>
      <c r="E10" s="10"/>
      <c r="F10" s="29">
        <f t="shared" si="0"/>
        <v>0</v>
      </c>
      <c r="G10" s="29">
        <f t="shared" si="1"/>
        <v>0</v>
      </c>
      <c r="H10" s="29">
        <f t="shared" si="2"/>
        <v>0</v>
      </c>
    </row>
    <row r="11" spans="2:8" x14ac:dyDescent="0.25">
      <c r="B11" s="14"/>
      <c r="C11" s="12"/>
      <c r="D11" s="31"/>
      <c r="E11" s="13"/>
      <c r="F11" s="33">
        <f t="shared" si="0"/>
        <v>0</v>
      </c>
      <c r="G11" s="33">
        <f t="shared" si="1"/>
        <v>0</v>
      </c>
      <c r="H11" s="33">
        <f t="shared" si="2"/>
        <v>0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4650</v>
      </c>
      <c r="F14" s="16">
        <f>SUM(F6:F13)</f>
        <v>511.5</v>
      </c>
      <c r="G14" s="16">
        <f>SUM(G6:G13)</f>
        <v>930</v>
      </c>
      <c r="H14" s="16">
        <f>SUM(H6:H13)</f>
        <v>4138.5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:G3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45931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45933</v>
      </c>
      <c r="C6" s="9" t="s">
        <v>48</v>
      </c>
      <c r="D6" s="27" t="s">
        <v>49</v>
      </c>
      <c r="E6" s="28">
        <v>930</v>
      </c>
      <c r="F6" s="29">
        <f t="shared" ref="F6:F13" si="0">E6*ALIQ_AUTONOMO</f>
        <v>102.3</v>
      </c>
      <c r="G6" s="29">
        <f t="shared" ref="G6:G13" si="1">E6*ALIQ_EMPRESA</f>
        <v>186</v>
      </c>
      <c r="H6" s="29">
        <f t="shared" ref="H6:H13" si="2">E6-F6</f>
        <v>827.7</v>
      </c>
    </row>
    <row r="7" spans="2:8" x14ac:dyDescent="0.25">
      <c r="B7" s="30">
        <v>45934</v>
      </c>
      <c r="C7" s="12" t="s">
        <v>58</v>
      </c>
      <c r="D7" s="31" t="s">
        <v>59</v>
      </c>
      <c r="E7" s="32">
        <v>780</v>
      </c>
      <c r="F7" s="33">
        <f t="shared" si="0"/>
        <v>85.8</v>
      </c>
      <c r="G7" s="33">
        <f t="shared" si="1"/>
        <v>156</v>
      </c>
      <c r="H7" s="33">
        <f t="shared" si="2"/>
        <v>694.2</v>
      </c>
    </row>
    <row r="8" spans="2:8" x14ac:dyDescent="0.25">
      <c r="B8" s="26">
        <v>45938</v>
      </c>
      <c r="C8" s="9" t="s">
        <v>42</v>
      </c>
      <c r="D8" s="27" t="s">
        <v>43</v>
      </c>
      <c r="E8" s="28">
        <v>780</v>
      </c>
      <c r="F8" s="29">
        <f t="shared" si="0"/>
        <v>85.8</v>
      </c>
      <c r="G8" s="29">
        <f t="shared" si="1"/>
        <v>156</v>
      </c>
      <c r="H8" s="29">
        <f t="shared" si="2"/>
        <v>694.2</v>
      </c>
    </row>
    <row r="9" spans="2:8" x14ac:dyDescent="0.25">
      <c r="B9" s="30">
        <v>45940</v>
      </c>
      <c r="C9" s="12" t="s">
        <v>44</v>
      </c>
      <c r="D9" s="31" t="s">
        <v>45</v>
      </c>
      <c r="E9" s="32">
        <v>850</v>
      </c>
      <c r="F9" s="33">
        <f t="shared" si="0"/>
        <v>93.5</v>
      </c>
      <c r="G9" s="33">
        <f t="shared" si="1"/>
        <v>170</v>
      </c>
      <c r="H9" s="33">
        <f t="shared" si="2"/>
        <v>756.5</v>
      </c>
    </row>
    <row r="10" spans="2:8" x14ac:dyDescent="0.25">
      <c r="B10" s="11"/>
      <c r="C10" s="9"/>
      <c r="D10" s="27"/>
      <c r="E10" s="10"/>
      <c r="F10" s="29">
        <f t="shared" si="0"/>
        <v>0</v>
      </c>
      <c r="G10" s="29">
        <f t="shared" si="1"/>
        <v>0</v>
      </c>
      <c r="H10" s="29">
        <f t="shared" si="2"/>
        <v>0</v>
      </c>
    </row>
    <row r="11" spans="2:8" x14ac:dyDescent="0.25">
      <c r="B11" s="14"/>
      <c r="C11" s="12"/>
      <c r="D11" s="31"/>
      <c r="E11" s="13"/>
      <c r="F11" s="33">
        <f t="shared" si="0"/>
        <v>0</v>
      </c>
      <c r="G11" s="33">
        <f t="shared" si="1"/>
        <v>0</v>
      </c>
      <c r="H11" s="33">
        <f t="shared" si="2"/>
        <v>0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3340</v>
      </c>
      <c r="F14" s="16">
        <f>SUM(F6:F13)</f>
        <v>367.4</v>
      </c>
      <c r="G14" s="16">
        <f>SUM(G6:G13)</f>
        <v>668</v>
      </c>
      <c r="H14" s="16">
        <f>SUM(H6:H13)</f>
        <v>2972.6000000000004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2" sqref="B12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45962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45965</v>
      </c>
      <c r="C6" s="9" t="s">
        <v>52</v>
      </c>
      <c r="D6" s="27" t="s">
        <v>53</v>
      </c>
      <c r="E6" s="28">
        <v>1900</v>
      </c>
      <c r="F6" s="29">
        <f t="shared" ref="F6:F13" si="0">E6*ALIQ_AUTONOMO</f>
        <v>209</v>
      </c>
      <c r="G6" s="29">
        <f t="shared" ref="G6:G13" si="1">E6*ALIQ_EMPRESA</f>
        <v>380</v>
      </c>
      <c r="H6" s="29">
        <f t="shared" ref="H6:H13" si="2">E6-F6</f>
        <v>1691</v>
      </c>
    </row>
    <row r="7" spans="2:8" x14ac:dyDescent="0.25">
      <c r="B7" s="30">
        <v>45968</v>
      </c>
      <c r="C7" s="12" t="s">
        <v>54</v>
      </c>
      <c r="D7" s="31" t="s">
        <v>55</v>
      </c>
      <c r="E7" s="32">
        <v>1200</v>
      </c>
      <c r="F7" s="33">
        <f t="shared" si="0"/>
        <v>132</v>
      </c>
      <c r="G7" s="33">
        <f t="shared" si="1"/>
        <v>240</v>
      </c>
      <c r="H7" s="33">
        <f t="shared" si="2"/>
        <v>1068</v>
      </c>
    </row>
    <row r="8" spans="2:8" x14ac:dyDescent="0.25">
      <c r="B8" s="26">
        <v>45971</v>
      </c>
      <c r="C8" s="9" t="s">
        <v>42</v>
      </c>
      <c r="D8" s="27" t="s">
        <v>43</v>
      </c>
      <c r="E8" s="28">
        <v>1350</v>
      </c>
      <c r="F8" s="29">
        <f t="shared" si="0"/>
        <v>148.5</v>
      </c>
      <c r="G8" s="29">
        <f t="shared" si="1"/>
        <v>270</v>
      </c>
      <c r="H8" s="29">
        <f t="shared" si="2"/>
        <v>1201.5</v>
      </c>
    </row>
    <row r="9" spans="2:8" x14ac:dyDescent="0.25">
      <c r="B9" s="30">
        <v>45975</v>
      </c>
      <c r="C9" s="12" t="s">
        <v>60</v>
      </c>
      <c r="D9" s="31" t="s">
        <v>61</v>
      </c>
      <c r="E9" s="32">
        <v>780</v>
      </c>
      <c r="F9" s="33">
        <f t="shared" si="0"/>
        <v>85.8</v>
      </c>
      <c r="G9" s="33">
        <f t="shared" si="1"/>
        <v>156</v>
      </c>
      <c r="H9" s="33">
        <f t="shared" si="2"/>
        <v>694.2</v>
      </c>
    </row>
    <row r="10" spans="2:8" x14ac:dyDescent="0.25">
      <c r="B10" s="26">
        <v>45977</v>
      </c>
      <c r="C10" s="9" t="s">
        <v>64</v>
      </c>
      <c r="D10" s="27" t="s">
        <v>65</v>
      </c>
      <c r="E10" s="28">
        <v>930</v>
      </c>
      <c r="F10" s="29">
        <f t="shared" si="0"/>
        <v>102.3</v>
      </c>
      <c r="G10" s="29">
        <f t="shared" si="1"/>
        <v>186</v>
      </c>
      <c r="H10" s="29">
        <f t="shared" si="2"/>
        <v>827.7</v>
      </c>
    </row>
    <row r="11" spans="2:8" x14ac:dyDescent="0.25">
      <c r="B11" s="30">
        <v>45978</v>
      </c>
      <c r="C11" s="12" t="s">
        <v>56</v>
      </c>
      <c r="D11" s="31" t="s">
        <v>57</v>
      </c>
      <c r="E11" s="32">
        <v>1120</v>
      </c>
      <c r="F11" s="33">
        <f t="shared" si="0"/>
        <v>123.2</v>
      </c>
      <c r="G11" s="33">
        <f t="shared" si="1"/>
        <v>224</v>
      </c>
      <c r="H11" s="33">
        <f t="shared" si="2"/>
        <v>996.8</v>
      </c>
    </row>
    <row r="12" spans="2:8" x14ac:dyDescent="0.25">
      <c r="B12" s="26">
        <v>45979</v>
      </c>
      <c r="C12" s="9" t="s">
        <v>44</v>
      </c>
      <c r="D12" s="27" t="s">
        <v>45</v>
      </c>
      <c r="E12" s="28">
        <v>1600</v>
      </c>
      <c r="F12" s="29">
        <f t="shared" si="0"/>
        <v>176</v>
      </c>
      <c r="G12" s="29">
        <f t="shared" si="1"/>
        <v>320</v>
      </c>
      <c r="H12" s="29">
        <f t="shared" si="2"/>
        <v>1424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8880</v>
      </c>
      <c r="F14" s="16">
        <f>SUM(F6:F13)</f>
        <v>976.8</v>
      </c>
      <c r="G14" s="16">
        <f>SUM(G6:G13)</f>
        <v>1776</v>
      </c>
      <c r="H14" s="16">
        <f>SUM(H6:H13)</f>
        <v>7903.2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6" sqref="K16"/>
    </sheetView>
  </sheetViews>
  <sheetFormatPr defaultColWidth="8.7109375" defaultRowHeight="15" x14ac:dyDescent="0.25"/>
  <cols>
    <col min="1" max="1" width="2" customWidth="1"/>
    <col min="2" max="2" width="13" customWidth="1"/>
    <col min="3" max="3" width="24" customWidth="1"/>
    <col min="4" max="4" width="16" customWidth="1"/>
    <col min="5" max="7" width="15" customWidth="1"/>
    <col min="8" max="8" width="17" customWidth="1"/>
    <col min="9" max="9" width="2" customWidth="1"/>
  </cols>
  <sheetData>
    <row r="2" spans="2:8" ht="27.75" customHeight="1" x14ac:dyDescent="0.25">
      <c r="B2" s="7" t="s">
        <v>31</v>
      </c>
      <c r="C2" s="7"/>
      <c r="D2" s="7"/>
      <c r="E2" s="7"/>
      <c r="F2" s="4" t="s">
        <v>32</v>
      </c>
      <c r="G2" s="4"/>
      <c r="H2" s="24"/>
    </row>
    <row r="3" spans="2:8" x14ac:dyDescent="0.25">
      <c r="F3" s="34">
        <v>45992</v>
      </c>
      <c r="G3" s="3"/>
      <c r="H3" s="25"/>
    </row>
    <row r="5" spans="2:8" ht="30" customHeight="1" x14ac:dyDescent="0.25">
      <c r="B5" s="8" t="s">
        <v>33</v>
      </c>
      <c r="C5" s="8" t="s">
        <v>34</v>
      </c>
      <c r="D5" s="8" t="s">
        <v>35</v>
      </c>
      <c r="E5" s="8" t="s">
        <v>36</v>
      </c>
      <c r="F5" s="8" t="s">
        <v>3</v>
      </c>
      <c r="G5" s="8" t="s">
        <v>4</v>
      </c>
      <c r="H5" s="8" t="s">
        <v>37</v>
      </c>
    </row>
    <row r="6" spans="2:8" x14ac:dyDescent="0.25">
      <c r="B6" s="26">
        <v>45995</v>
      </c>
      <c r="C6" s="9" t="s">
        <v>64</v>
      </c>
      <c r="D6" s="27" t="s">
        <v>65</v>
      </c>
      <c r="E6" s="28">
        <v>780</v>
      </c>
      <c r="F6" s="29">
        <f t="shared" ref="F6:F13" si="0">E6*ALIQ_AUTONOMO</f>
        <v>85.8</v>
      </c>
      <c r="G6" s="29">
        <f t="shared" ref="G6:G13" si="1">E6*ALIQ_EMPRESA</f>
        <v>156</v>
      </c>
      <c r="H6" s="29">
        <f t="shared" ref="H6:H13" si="2">E6-F6</f>
        <v>694.2</v>
      </c>
    </row>
    <row r="7" spans="2:8" x14ac:dyDescent="0.25">
      <c r="B7" s="30">
        <v>45996</v>
      </c>
      <c r="C7" s="12" t="s">
        <v>44</v>
      </c>
      <c r="D7" s="31" t="s">
        <v>45</v>
      </c>
      <c r="E7" s="32">
        <v>1120</v>
      </c>
      <c r="F7" s="33">
        <f t="shared" si="0"/>
        <v>123.2</v>
      </c>
      <c r="G7" s="33">
        <f t="shared" si="1"/>
        <v>224</v>
      </c>
      <c r="H7" s="33">
        <f t="shared" si="2"/>
        <v>996.8</v>
      </c>
    </row>
    <row r="8" spans="2:8" x14ac:dyDescent="0.25">
      <c r="B8" s="26">
        <v>45997</v>
      </c>
      <c r="C8" s="9" t="s">
        <v>38</v>
      </c>
      <c r="D8" s="27" t="s">
        <v>39</v>
      </c>
      <c r="E8" s="28">
        <v>1480</v>
      </c>
      <c r="F8" s="29">
        <f t="shared" si="0"/>
        <v>162.80000000000001</v>
      </c>
      <c r="G8" s="29">
        <f t="shared" si="1"/>
        <v>296</v>
      </c>
      <c r="H8" s="29">
        <f t="shared" si="2"/>
        <v>1317.2</v>
      </c>
    </row>
    <row r="9" spans="2:8" x14ac:dyDescent="0.25">
      <c r="B9" s="30">
        <v>45999</v>
      </c>
      <c r="C9" s="12" t="s">
        <v>48</v>
      </c>
      <c r="D9" s="31" t="s">
        <v>49</v>
      </c>
      <c r="E9" s="32">
        <v>1050</v>
      </c>
      <c r="F9" s="33">
        <f t="shared" si="0"/>
        <v>115.5</v>
      </c>
      <c r="G9" s="33">
        <f t="shared" si="1"/>
        <v>210</v>
      </c>
      <c r="H9" s="33">
        <f t="shared" si="2"/>
        <v>934.5</v>
      </c>
    </row>
    <row r="10" spans="2:8" x14ac:dyDescent="0.25">
      <c r="B10" s="26">
        <v>46003</v>
      </c>
      <c r="C10" s="9" t="s">
        <v>40</v>
      </c>
      <c r="D10" s="27" t="s">
        <v>41</v>
      </c>
      <c r="E10" s="28">
        <v>930</v>
      </c>
      <c r="F10" s="29">
        <f t="shared" si="0"/>
        <v>102.3</v>
      </c>
      <c r="G10" s="29">
        <f t="shared" si="1"/>
        <v>186</v>
      </c>
      <c r="H10" s="29">
        <f t="shared" si="2"/>
        <v>827.7</v>
      </c>
    </row>
    <row r="11" spans="2:8" x14ac:dyDescent="0.25">
      <c r="B11" s="14"/>
      <c r="C11" s="12"/>
      <c r="D11" s="31"/>
      <c r="E11" s="13"/>
      <c r="F11" s="33">
        <f t="shared" si="0"/>
        <v>0</v>
      </c>
      <c r="G11" s="33">
        <f t="shared" si="1"/>
        <v>0</v>
      </c>
      <c r="H11" s="33">
        <f t="shared" si="2"/>
        <v>0</v>
      </c>
    </row>
    <row r="12" spans="2:8" x14ac:dyDescent="0.25">
      <c r="B12" s="11"/>
      <c r="C12" s="9"/>
      <c r="D12" s="27"/>
      <c r="E12" s="10"/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2:8" x14ac:dyDescent="0.25">
      <c r="B13" s="14"/>
      <c r="C13" s="12"/>
      <c r="D13" s="31"/>
      <c r="E13" s="13"/>
      <c r="F13" s="33">
        <f t="shared" si="0"/>
        <v>0</v>
      </c>
      <c r="G13" s="33">
        <f t="shared" si="1"/>
        <v>0</v>
      </c>
      <c r="H13" s="33">
        <f t="shared" si="2"/>
        <v>0</v>
      </c>
    </row>
    <row r="14" spans="2:8" x14ac:dyDescent="0.25">
      <c r="B14" s="2" t="s">
        <v>46</v>
      </c>
      <c r="C14" s="2"/>
      <c r="D14" s="2"/>
      <c r="E14" s="16">
        <f>SUM(E6:E13)</f>
        <v>5360</v>
      </c>
      <c r="F14" s="16">
        <f>SUM(F6:F13)</f>
        <v>589.6</v>
      </c>
      <c r="G14" s="16">
        <f>SUM(G6:G13)</f>
        <v>1072</v>
      </c>
      <c r="H14" s="16">
        <f>SUM(H6:H13)</f>
        <v>4770.3999999999996</v>
      </c>
    </row>
    <row r="15" spans="2:8" x14ac:dyDescent="0.25">
      <c r="B15" s="1" t="s">
        <v>47</v>
      </c>
      <c r="C15" s="1"/>
      <c r="D15" s="1"/>
      <c r="E15" s="1"/>
      <c r="F15" s="1"/>
      <c r="G15" s="1"/>
      <c r="H15" s="1"/>
    </row>
  </sheetData>
  <mergeCells count="5">
    <mergeCell ref="B2:E2"/>
    <mergeCell ref="F2:G2"/>
    <mergeCell ref="F3:G3"/>
    <mergeCell ref="B14:D1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</vt:i4>
      </vt:variant>
    </vt:vector>
  </HeadingPairs>
  <TitlesOfParts>
    <vt:vector size="16" baseType="lpstr">
      <vt:lpstr>Dashboard</vt:lpstr>
      <vt:lpstr>Parâmetros</vt:lpstr>
      <vt:lpstr>RPA-Jan2025</vt:lpstr>
      <vt:lpstr>RPA-Fev2025</vt:lpstr>
      <vt:lpstr>RPA-Mar2025</vt:lpstr>
      <vt:lpstr>RPA-Abr2025</vt:lpstr>
      <vt:lpstr>RPA-Mai2025</vt:lpstr>
      <vt:lpstr>RPA-Jun2025</vt:lpstr>
      <vt:lpstr>RPA-Jul2025</vt:lpstr>
      <vt:lpstr>RPA-Ago2025</vt:lpstr>
      <vt:lpstr>RPA-Set2025</vt:lpstr>
      <vt:lpstr>RPA-Out2025</vt:lpstr>
      <vt:lpstr>RPA-Nov2025</vt:lpstr>
      <vt:lpstr>RPA-Dez2025</vt:lpstr>
      <vt:lpstr>ALIQ_AUTONOMO</vt:lpstr>
      <vt:lpstr>ALIQ_EMPRESA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Miranda</cp:lastModifiedBy>
  <cp:revision>1</cp:revision>
  <dcterms:created xsi:type="dcterms:W3CDTF">2026-07-04T02:05:41Z</dcterms:created>
  <dcterms:modified xsi:type="dcterms:W3CDTF">2026-07-04T02:56:37Z</dcterms:modified>
  <dc:language>en-US</dc:language>
</cp:coreProperties>
</file>